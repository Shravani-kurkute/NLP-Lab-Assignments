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nigrams" sheetId="2" state="visible" r:id="rId2"/>
    <sheet xmlns:r="http://schemas.openxmlformats.org/officeDocument/2006/relationships" name="Bigrams" sheetId="3" state="visible" r:id="rId3"/>
    <sheet xmlns:r="http://schemas.openxmlformats.org/officeDocument/2006/relationships" name="Test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"/>
    <numFmt numFmtId="166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5" fontId="2" fillId="0" borderId="0" pivotButton="0" quotePrefix="0" xfId="0"/>
    <xf numFmtId="11" fontId="2" fillId="0" borderId="0" pivotButton="0" quotePrefix="0" xfId="0"/>
    <xf numFmtId="166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#</t>
        </is>
      </c>
      <c r="B1" s="1" t="inlineStr">
        <is>
          <t>Test sentence</t>
        </is>
      </c>
      <c r="C1" s="1" t="inlineStr">
        <is>
          <t>P (MLE)</t>
        </is>
      </c>
      <c r="D1" s="1" t="inlineStr">
        <is>
          <t>P (Laplace)</t>
        </is>
      </c>
      <c r="E1" s="1" t="inlineStr">
        <is>
          <t>log P (Laplace)</t>
        </is>
      </c>
    </row>
    <row r="2">
      <c r="A2" s="2" t="n">
        <v>1</v>
      </c>
      <c r="B2" s="2" t="inlineStr">
        <is>
          <t>I love natural language processing.</t>
        </is>
      </c>
      <c r="C2" s="3">
        <f>PRODUCT(Test_Calc!F2:F7)</f>
        <v/>
      </c>
      <c r="D2" s="4">
        <f>PRODUCT(Test_Calc!G2:G7)</f>
        <v/>
      </c>
      <c r="E2" s="5">
        <f>LN(D2)</f>
        <v/>
      </c>
    </row>
    <row r="3">
      <c r="A3" s="2" t="n">
        <v>2</v>
      </c>
      <c r="B3" s="2" t="inlineStr">
        <is>
          <t>Students learn machine learning.</t>
        </is>
      </c>
      <c r="C3" s="3">
        <f>PRODUCT(Test_Calc!F8:F12)</f>
        <v/>
      </c>
      <c r="D3" s="4">
        <f>PRODUCT(Test_Calc!G8:G12)</f>
        <v/>
      </c>
      <c r="E3" s="5">
        <f>LN(D3)</f>
        <v/>
      </c>
    </row>
    <row r="4">
      <c r="A4" s="2" t="n">
        <v>3</v>
      </c>
      <c r="B4" s="2" t="inlineStr">
        <is>
          <t>Natural language processing helps students.</t>
        </is>
      </c>
      <c r="C4" s="3">
        <f>PRODUCT(Test_Calc!F13:F18)</f>
        <v/>
      </c>
      <c r="D4" s="4">
        <f>PRODUCT(Test_Calc!G13:G18)</f>
        <v/>
      </c>
      <c r="E4" s="5">
        <f>LN(D4)</f>
        <v/>
      </c>
    </row>
    <row r="5">
      <c r="A5" s="2" t="n">
        <v>4</v>
      </c>
      <c r="B5" s="2" t="inlineStr">
        <is>
          <t>I enjoy learning machine learning.</t>
        </is>
      </c>
      <c r="C5" s="3">
        <f>PRODUCT(Test_Calc!F19:F24)</f>
        <v/>
      </c>
      <c r="D5" s="4">
        <f>PRODUCT(Test_Calc!G19:G24)</f>
        <v/>
      </c>
      <c r="E5" s="5">
        <f>LN(D5)</f>
        <v/>
      </c>
    </row>
    <row r="6">
      <c r="A6" s="2" t="n">
        <v>5</v>
      </c>
      <c r="B6" s="2" t="inlineStr">
        <is>
          <t>Students find machine learning useful.</t>
        </is>
      </c>
      <c r="C6" s="3">
        <f>PRODUCT(Test_Calc!F25:F30)</f>
        <v/>
      </c>
      <c r="D6" s="4">
        <f>PRODUCT(Test_Calc!G25:G30)</f>
        <v/>
      </c>
      <c r="E6" s="5">
        <f>LN(D6)</f>
        <v/>
      </c>
    </row>
    <row r="8">
      <c r="A8" s="2" t="inlineStr">
        <is>
          <t>MLE: P(w2|w1)=C(w1,w2)/C(w1). Laplace: (C(w1,w2)+1)/(C(w1)+V), V from Unigrams!E1. Sentence probability = product of bigram probabilities.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4" max="4"/>
  </cols>
  <sheetData>
    <row r="1">
      <c r="A1" s="1" t="inlineStr">
        <is>
          <t>Word</t>
        </is>
      </c>
      <c r="B1" s="1" t="inlineStr">
        <is>
          <t>Count</t>
        </is>
      </c>
      <c r="D1" s="6" t="inlineStr">
        <is>
          <t>Vocabulary size V (incl.  and 孺)</t>
        </is>
      </c>
      <c r="E1" s="6" t="inlineStr">
        <is>
          <t>Total tokens</t>
        </is>
      </c>
    </row>
    <row r="2">
      <c r="A2" s="2" t="inlineStr"/>
      <c r="B2" s="7" t="n">
        <v>25</v>
      </c>
      <c r="D2" s="2">
        <f>COUNTA(A2:A21)</f>
        <v/>
      </c>
      <c r="E2" s="2">
        <f>SUM(B2:B21)</f>
        <v/>
      </c>
    </row>
    <row r="3">
      <c r="A3" s="2" t="inlineStr">
        <is>
          <t>孺</t>
        </is>
      </c>
      <c r="B3" s="7" t="n">
        <v>25</v>
      </c>
      <c r="D3" s="2" t="n"/>
      <c r="E3" s="2" t="n"/>
    </row>
    <row r="4">
      <c r="A4" s="2" t="inlineStr">
        <is>
          <t>learning</t>
        </is>
      </c>
      <c r="B4" s="7" t="n">
        <v>17</v>
      </c>
      <c r="D4" s="2" t="inlineStr">
        <is>
          <t>Note: counts come from the 25-sentence training corpus, lowercased, punctuation stripped, with /孺 added. V = Vocabulary size including  and 孺.</t>
        </is>
      </c>
    </row>
    <row r="5">
      <c r="A5" s="2" t="inlineStr">
        <is>
          <t>language</t>
        </is>
      </c>
      <c r="B5" s="7" t="n">
        <v>13</v>
      </c>
    </row>
    <row r="6">
      <c r="A6" s="2" t="inlineStr">
        <is>
          <t>natural</t>
        </is>
      </c>
      <c r="B6" s="7" t="n">
        <v>13</v>
      </c>
    </row>
    <row r="7">
      <c r="A7" s="2" t="inlineStr">
        <is>
          <t>processing</t>
        </is>
      </c>
      <c r="B7" s="7" t="n">
        <v>13</v>
      </c>
    </row>
    <row r="8">
      <c r="A8" s="2" t="inlineStr">
        <is>
          <t>machine</t>
        </is>
      </c>
      <c r="B8" s="7" t="n">
        <v>12</v>
      </c>
    </row>
    <row r="9">
      <c r="A9" s="2" t="inlineStr">
        <is>
          <t>students</t>
        </is>
      </c>
      <c r="B9" s="7" t="n">
        <v>9</v>
      </c>
    </row>
    <row r="10">
      <c r="A10" s="2" t="inlineStr">
        <is>
          <t>i</t>
        </is>
      </c>
      <c r="B10" s="7" t="n">
        <v>8</v>
      </c>
    </row>
    <row r="11">
      <c r="A11" s="2" t="inlineStr">
        <is>
          <t>is</t>
        </is>
      </c>
      <c r="B11" s="7" t="n">
        <v>8</v>
      </c>
    </row>
    <row r="12">
      <c r="A12" s="2" t="inlineStr">
        <is>
          <t>interesting</t>
        </is>
      </c>
      <c r="B12" s="7" t="n">
        <v>6</v>
      </c>
    </row>
    <row r="13">
      <c r="A13" s="2" t="inlineStr">
        <is>
          <t>useful</t>
        </is>
      </c>
      <c r="B13" s="7" t="n">
        <v>6</v>
      </c>
    </row>
    <row r="14">
      <c r="A14" s="2" t="inlineStr">
        <is>
          <t>find</t>
        </is>
      </c>
      <c r="B14" s="7" t="n">
        <v>4</v>
      </c>
    </row>
    <row r="15">
      <c r="A15" s="2" t="inlineStr">
        <is>
          <t>study</t>
        </is>
      </c>
      <c r="B15" s="7" t="n">
        <v>4</v>
      </c>
    </row>
    <row r="16">
      <c r="A16" s="2" t="inlineStr">
        <is>
          <t>love</t>
        </is>
      </c>
      <c r="B16" s="7" t="n">
        <v>3</v>
      </c>
    </row>
    <row r="17">
      <c r="A17" s="2" t="inlineStr">
        <is>
          <t>a</t>
        </is>
      </c>
      <c r="B17" s="7" t="n">
        <v>2</v>
      </c>
    </row>
    <row r="18">
      <c r="A18" s="2" t="inlineStr">
        <is>
          <t>enjoy</t>
        </is>
      </c>
      <c r="B18" s="7" t="n">
        <v>2</v>
      </c>
    </row>
    <row r="19">
      <c r="A19" s="2" t="inlineStr">
        <is>
          <t>field</t>
        </is>
      </c>
      <c r="B19" s="7" t="n">
        <v>2</v>
      </c>
    </row>
    <row r="20">
      <c r="A20" s="2" t="inlineStr">
        <is>
          <t>helps</t>
        </is>
      </c>
      <c r="B20" s="7" t="n">
        <v>2</v>
      </c>
    </row>
    <row r="21">
      <c r="A21" s="2" t="inlineStr">
        <is>
          <t>learn</t>
        </is>
      </c>
      <c r="B21" s="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w1</t>
        </is>
      </c>
      <c r="B1" s="1" t="inlineStr">
        <is>
          <t>w2</t>
        </is>
      </c>
      <c r="C1" s="1" t="inlineStr">
        <is>
          <t>C(w1,w2)</t>
        </is>
      </c>
      <c r="D1" s="1" t="inlineStr">
        <is>
          <t>C(w1)</t>
        </is>
      </c>
      <c r="E1" s="1" t="inlineStr">
        <is>
          <t>MLE P(w2|w1)</t>
        </is>
      </c>
      <c r="F1" s="1" t="inlineStr">
        <is>
          <t>Laplace P(w2|w1)</t>
        </is>
      </c>
    </row>
    <row r="2">
      <c r="A2" s="2" t="inlineStr">
        <is>
          <t>language</t>
        </is>
      </c>
      <c r="B2" s="2" t="inlineStr">
        <is>
          <t>processing</t>
        </is>
      </c>
      <c r="C2" s="7" t="n">
        <v>13</v>
      </c>
      <c r="D2" s="2">
        <f>SUMPRODUCT((Unigrams!A2:A21=A2)*(Unigrams!B2:B21))</f>
        <v/>
      </c>
      <c r="E2" s="8">
        <f>C2/D2</f>
        <v/>
      </c>
      <c r="F2" s="8">
        <f>(C2+1)/(D2+Unigrams!E1)</f>
        <v/>
      </c>
    </row>
    <row r="3">
      <c r="A3" s="2" t="inlineStr">
        <is>
          <t>natural</t>
        </is>
      </c>
      <c r="B3" s="2" t="inlineStr">
        <is>
          <t>language</t>
        </is>
      </c>
      <c r="C3" s="7" t="n">
        <v>13</v>
      </c>
      <c r="D3" s="2">
        <f>SUMPRODUCT((Unigrams!A2:A21=A3)*(Unigrams!B2:B21))</f>
        <v/>
      </c>
      <c r="E3" s="8">
        <f>C3/D3</f>
        <v/>
      </c>
      <c r="F3" s="8">
        <f>(C3+1)/(D3+Unigrams!E1)</f>
        <v/>
      </c>
    </row>
    <row r="4">
      <c r="A4" s="2" t="inlineStr">
        <is>
          <t>machine</t>
        </is>
      </c>
      <c r="B4" s="2" t="inlineStr">
        <is>
          <t>learning</t>
        </is>
      </c>
      <c r="C4" s="7" t="n">
        <v>12</v>
      </c>
      <c r="D4" s="2">
        <f>SUMPRODUCT((Unigrams!A2:A21=A4)*(Unigrams!B2:B21))</f>
        <v/>
      </c>
      <c r="E4" s="8">
        <f>C4/D4</f>
        <v/>
      </c>
      <c r="F4" s="8">
        <f>(C4+1)/(D4+Unigrams!E1)</f>
        <v/>
      </c>
    </row>
    <row r="5">
      <c r="A5" s="2" t="inlineStr"/>
      <c r="B5" s="2" t="inlineStr">
        <is>
          <t>i</t>
        </is>
      </c>
      <c r="C5" s="7" t="n">
        <v>8</v>
      </c>
      <c r="D5" s="2">
        <f>SUMPRODUCT((Unigrams!A2:A21=A5)*(Unigrams!B2:B21))</f>
        <v/>
      </c>
      <c r="E5" s="8">
        <f>C5/D5</f>
        <v/>
      </c>
      <c r="F5" s="8">
        <f>(C5+1)/(D5+Unigrams!E1)</f>
        <v/>
      </c>
    </row>
    <row r="6">
      <c r="A6" s="2" t="inlineStr"/>
      <c r="B6" s="2" t="inlineStr">
        <is>
          <t>students</t>
        </is>
      </c>
      <c r="C6" s="7" t="n">
        <v>7</v>
      </c>
      <c r="D6" s="2">
        <f>SUMPRODUCT((Unigrams!A2:A21=A6)*(Unigrams!B2:B21))</f>
        <v/>
      </c>
      <c r="E6" s="8">
        <f>C6/D6</f>
        <v/>
      </c>
      <c r="F6" s="8">
        <f>(C6+1)/(D6+Unigrams!E1)</f>
        <v/>
      </c>
    </row>
    <row r="7">
      <c r="A7" s="2" t="inlineStr">
        <is>
          <t>interesting</t>
        </is>
      </c>
      <c r="B7" s="2" t="inlineStr">
        <is>
          <t>孺</t>
        </is>
      </c>
      <c r="C7" s="7" t="n">
        <v>6</v>
      </c>
      <c r="D7" s="2">
        <f>SUMPRODUCT((Unigrams!A2:A21=A7)*(Unigrams!B2:B21))</f>
        <v/>
      </c>
      <c r="E7" s="8">
        <f>C7/D7</f>
        <v/>
      </c>
      <c r="F7" s="8">
        <f>(C7+1)/(D7+Unigrams!E1)</f>
        <v/>
      </c>
    </row>
    <row r="8">
      <c r="A8" s="2" t="inlineStr">
        <is>
          <t>processing</t>
        </is>
      </c>
      <c r="B8" s="2" t="inlineStr">
        <is>
          <t>孺</t>
        </is>
      </c>
      <c r="C8" s="7" t="n">
        <v>6</v>
      </c>
      <c r="D8" s="2">
        <f>SUMPRODUCT((Unigrams!A2:A21=A8)*(Unigrams!B2:B21))</f>
        <v/>
      </c>
      <c r="E8" s="8">
        <f>C8/D8</f>
        <v/>
      </c>
      <c r="F8" s="8">
        <f>(C8+1)/(D8+Unigrams!E1)</f>
        <v/>
      </c>
    </row>
    <row r="9">
      <c r="A9" s="2" t="inlineStr">
        <is>
          <t>learning</t>
        </is>
      </c>
      <c r="B9" s="2" t="inlineStr">
        <is>
          <t>孺</t>
        </is>
      </c>
      <c r="C9" s="7" t="n">
        <v>5</v>
      </c>
      <c r="D9" s="2">
        <f>SUMPRODUCT((Unigrams!A2:A21=A9)*(Unigrams!B2:B21))</f>
        <v/>
      </c>
      <c r="E9" s="8">
        <f>C9/D9</f>
        <v/>
      </c>
      <c r="F9" s="8">
        <f>(C9+1)/(D9+Unigrams!E1)</f>
        <v/>
      </c>
    </row>
    <row r="10">
      <c r="A10" s="2" t="inlineStr"/>
      <c r="B10" s="2" t="inlineStr">
        <is>
          <t>machine</t>
        </is>
      </c>
      <c r="C10" s="7" t="n">
        <v>4</v>
      </c>
      <c r="D10" s="2">
        <f>SUMPRODUCT((Unigrams!A2:A21=A10)*(Unigrams!B2:B21))</f>
        <v/>
      </c>
      <c r="E10" s="8">
        <f>C10/D10</f>
        <v/>
      </c>
      <c r="F10" s="8">
        <f>(C10+1)/(D10+Unigrams!E1)</f>
        <v/>
      </c>
    </row>
    <row r="11">
      <c r="A11" s="2" t="inlineStr"/>
      <c r="B11" s="2" t="inlineStr">
        <is>
          <t>natural</t>
        </is>
      </c>
      <c r="C11" s="7" t="n">
        <v>4</v>
      </c>
      <c r="D11" s="2">
        <f>SUMPRODUCT((Unigrams!A2:A21=A11)*(Unigrams!B2:B21))</f>
        <v/>
      </c>
      <c r="E11" s="8">
        <f>C11/D11</f>
        <v/>
      </c>
      <c r="F11" s="8">
        <f>(C11+1)/(D11+Unigrams!E1)</f>
        <v/>
      </c>
    </row>
    <row r="12">
      <c r="A12" s="2" t="inlineStr">
        <is>
          <t>is</t>
        </is>
      </c>
      <c r="B12" s="2" t="inlineStr">
        <is>
          <t>interesting</t>
        </is>
      </c>
      <c r="C12" s="7" t="n">
        <v>4</v>
      </c>
      <c r="D12" s="2">
        <f>SUMPRODUCT((Unigrams!A2:A21=A12)*(Unigrams!B2:B21))</f>
        <v/>
      </c>
      <c r="E12" s="8">
        <f>C12/D12</f>
        <v/>
      </c>
      <c r="F12" s="8">
        <f>(C12+1)/(D12+Unigrams!E1)</f>
        <v/>
      </c>
    </row>
    <row r="13">
      <c r="A13" s="2" t="inlineStr">
        <is>
          <t>learning</t>
        </is>
      </c>
      <c r="B13" s="2" t="inlineStr">
        <is>
          <t>is</t>
        </is>
      </c>
      <c r="C13" s="7" t="n">
        <v>4</v>
      </c>
      <c r="D13" s="2">
        <f>SUMPRODUCT((Unigrams!A2:A21=A13)*(Unigrams!B2:B21))</f>
        <v/>
      </c>
      <c r="E13" s="8">
        <f>C13/D13</f>
        <v/>
      </c>
      <c r="F13" s="8">
        <f>(C13+1)/(D13+Unigrams!E1)</f>
        <v/>
      </c>
    </row>
    <row r="14">
      <c r="A14" s="2" t="inlineStr">
        <is>
          <t>processing</t>
        </is>
      </c>
      <c r="B14" s="2" t="inlineStr">
        <is>
          <t>is</t>
        </is>
      </c>
      <c r="C14" s="7" t="n">
        <v>4</v>
      </c>
      <c r="D14" s="2">
        <f>SUMPRODUCT((Unigrams!A2:A21=A14)*(Unigrams!B2:B21))</f>
        <v/>
      </c>
      <c r="E14" s="8">
        <f>C14/D14</f>
        <v/>
      </c>
      <c r="F14" s="8">
        <f>(C14+1)/(D14+Unigrams!E1)</f>
        <v/>
      </c>
    </row>
    <row r="15">
      <c r="A15" s="2" t="inlineStr">
        <is>
          <t>useful</t>
        </is>
      </c>
      <c r="B15" s="2" t="inlineStr">
        <is>
          <t>孺</t>
        </is>
      </c>
      <c r="C15" s="7" t="n">
        <v>4</v>
      </c>
      <c r="D15" s="2">
        <f>SUMPRODUCT((Unigrams!A2:A21=A15)*(Unigrams!B2:B21))</f>
        <v/>
      </c>
      <c r="E15" s="8">
        <f>C15/D15</f>
        <v/>
      </c>
      <c r="F15" s="8">
        <f>(C15+1)/(D15+Unigrams!E1)</f>
        <v/>
      </c>
    </row>
    <row r="16">
      <c r="A16" s="2" t="inlineStr">
        <is>
          <t>learning</t>
        </is>
      </c>
      <c r="B16" s="2" t="inlineStr">
        <is>
          <t>natural</t>
        </is>
      </c>
      <c r="C16" s="7" t="n">
        <v>3</v>
      </c>
      <c r="D16" s="2">
        <f>SUMPRODUCT((Unigrams!A2:A21=A16)*(Unigrams!B2:B21))</f>
        <v/>
      </c>
      <c r="E16" s="8">
        <f>C16/D16</f>
        <v/>
      </c>
      <c r="F16" s="8">
        <f>(C16+1)/(D16+Unigrams!E1)</f>
        <v/>
      </c>
    </row>
    <row r="17">
      <c r="A17" s="2" t="inlineStr"/>
      <c r="B17" s="2" t="inlineStr">
        <is>
          <t>learning</t>
        </is>
      </c>
      <c r="C17" s="7" t="n">
        <v>2</v>
      </c>
      <c r="D17" s="2">
        <f>SUMPRODUCT((Unigrams!A2:A21=A17)*(Unigrams!B2:B21))</f>
        <v/>
      </c>
      <c r="E17" s="8">
        <f>C17/D17</f>
        <v/>
      </c>
      <c r="F17" s="8">
        <f>(C17+1)/(D17+Unigrams!E1)</f>
        <v/>
      </c>
    </row>
    <row r="18">
      <c r="A18" s="2" t="inlineStr">
        <is>
          <t>a</t>
        </is>
      </c>
      <c r="B18" s="2" t="inlineStr">
        <is>
          <t>useful</t>
        </is>
      </c>
      <c r="C18" s="7" t="n">
        <v>2</v>
      </c>
      <c r="D18" s="2">
        <f>SUMPRODUCT((Unigrams!A2:A21=A18)*(Unigrams!B2:B21))</f>
        <v/>
      </c>
      <c r="E18" s="8">
        <f>C18/D18</f>
        <v/>
      </c>
      <c r="F18" s="8">
        <f>(C18+1)/(D18+Unigrams!E1)</f>
        <v/>
      </c>
    </row>
    <row r="19">
      <c r="A19" s="2" t="inlineStr">
        <is>
          <t>enjoy</t>
        </is>
      </c>
      <c r="B19" s="2" t="inlineStr">
        <is>
          <t>learning</t>
        </is>
      </c>
      <c r="C19" s="7" t="n">
        <v>2</v>
      </c>
      <c r="D19" s="2">
        <f>SUMPRODUCT((Unigrams!A2:A21=A19)*(Unigrams!B2:B21))</f>
        <v/>
      </c>
      <c r="E19" s="8">
        <f>C19/D19</f>
        <v/>
      </c>
      <c r="F19" s="8">
        <f>(C19+1)/(D19+Unigrams!E1)</f>
        <v/>
      </c>
    </row>
    <row r="20">
      <c r="A20" s="2" t="inlineStr">
        <is>
          <t>field</t>
        </is>
      </c>
      <c r="B20" s="2" t="inlineStr">
        <is>
          <t>孺</t>
        </is>
      </c>
      <c r="C20" s="7" t="n">
        <v>2</v>
      </c>
      <c r="D20" s="2">
        <f>SUMPRODUCT((Unigrams!A2:A21=A20)*(Unigrams!B2:B21))</f>
        <v/>
      </c>
      <c r="E20" s="8">
        <f>C20/D20</f>
        <v/>
      </c>
      <c r="F20" s="8">
        <f>(C20+1)/(D20+Unigrams!E1)</f>
        <v/>
      </c>
    </row>
    <row r="21">
      <c r="A21" s="2" t="inlineStr">
        <is>
          <t>find</t>
        </is>
      </c>
      <c r="B21" s="2" t="inlineStr">
        <is>
          <t>machine</t>
        </is>
      </c>
      <c r="C21" s="7" t="n">
        <v>2</v>
      </c>
      <c r="D21" s="2">
        <f>SUMPRODUCT((Unigrams!A2:A21=A21)*(Unigrams!B2:B21))</f>
        <v/>
      </c>
      <c r="E21" s="8">
        <f>C21/D21</f>
        <v/>
      </c>
      <c r="F21" s="8">
        <f>(C21+1)/(D21+Unigrams!E1)</f>
        <v/>
      </c>
    </row>
    <row r="22">
      <c r="A22" s="2" t="inlineStr">
        <is>
          <t>find</t>
        </is>
      </c>
      <c r="B22" s="2" t="inlineStr">
        <is>
          <t>natural</t>
        </is>
      </c>
      <c r="C22" s="7" t="n">
        <v>2</v>
      </c>
      <c r="D22" s="2">
        <f>SUMPRODUCT((Unigrams!A2:A21=A22)*(Unigrams!B2:B21))</f>
        <v/>
      </c>
      <c r="E22" s="8">
        <f>C22/D22</f>
        <v/>
      </c>
      <c r="F22" s="8">
        <f>(C22+1)/(D22+Unigrams!E1)</f>
        <v/>
      </c>
    </row>
    <row r="23">
      <c r="A23" s="2" t="inlineStr">
        <is>
          <t>helps</t>
        </is>
      </c>
      <c r="B23" s="2" t="inlineStr">
        <is>
          <t>students</t>
        </is>
      </c>
      <c r="C23" s="7" t="n">
        <v>2</v>
      </c>
      <c r="D23" s="2">
        <f>SUMPRODUCT((Unigrams!A2:A21=A23)*(Unigrams!B2:B21))</f>
        <v/>
      </c>
      <c r="E23" s="8">
        <f>C23/D23</f>
        <v/>
      </c>
      <c r="F23" s="8">
        <f>(C23+1)/(D23+Unigrams!E1)</f>
        <v/>
      </c>
    </row>
    <row r="24">
      <c r="A24" s="2" t="inlineStr">
        <is>
          <t>i</t>
        </is>
      </c>
      <c r="B24" s="2" t="inlineStr">
        <is>
          <t>enjoy</t>
        </is>
      </c>
      <c r="C24" s="7" t="n">
        <v>2</v>
      </c>
      <c r="D24" s="2">
        <f>SUMPRODUCT((Unigrams!A2:A21=A24)*(Unigrams!B2:B21))</f>
        <v/>
      </c>
      <c r="E24" s="8">
        <f>C24/D24</f>
        <v/>
      </c>
      <c r="F24" s="8">
        <f>(C24+1)/(D24+Unigrams!E1)</f>
        <v/>
      </c>
    </row>
    <row r="25">
      <c r="A25" s="2" t="inlineStr">
        <is>
          <t>i</t>
        </is>
      </c>
      <c r="B25" s="2" t="inlineStr">
        <is>
          <t>find</t>
        </is>
      </c>
      <c r="C25" s="7" t="n">
        <v>2</v>
      </c>
      <c r="D25" s="2">
        <f>SUMPRODUCT((Unigrams!A2:A21=A25)*(Unigrams!B2:B21))</f>
        <v/>
      </c>
      <c r="E25" s="8">
        <f>C25/D25</f>
        <v/>
      </c>
      <c r="F25" s="8">
        <f>(C25+1)/(D25+Unigrams!E1)</f>
        <v/>
      </c>
    </row>
    <row r="26">
      <c r="A26" s="2" t="inlineStr">
        <is>
          <t>i</t>
        </is>
      </c>
      <c r="B26" s="2" t="inlineStr">
        <is>
          <t>love</t>
        </is>
      </c>
      <c r="C26" s="7" t="n">
        <v>2</v>
      </c>
      <c r="D26" s="2">
        <f>SUMPRODUCT((Unigrams!A2:A21=A26)*(Unigrams!B2:B21))</f>
        <v/>
      </c>
      <c r="E26" s="8">
        <f>C26/D26</f>
        <v/>
      </c>
      <c r="F26" s="8">
        <f>(C26+1)/(D26+Unigrams!E1)</f>
        <v/>
      </c>
    </row>
    <row r="27">
      <c r="A27" s="2" t="inlineStr">
        <is>
          <t>i</t>
        </is>
      </c>
      <c r="B27" s="2" t="inlineStr">
        <is>
          <t>study</t>
        </is>
      </c>
      <c r="C27" s="7" t="n">
        <v>2</v>
      </c>
      <c r="D27" s="2">
        <f>SUMPRODUCT((Unigrams!A2:A21=A27)*(Unigrams!B2:B21))</f>
        <v/>
      </c>
      <c r="E27" s="8">
        <f>C27/D27</f>
        <v/>
      </c>
      <c r="F27" s="8">
        <f>(C27+1)/(D27+Unigrams!E1)</f>
        <v/>
      </c>
    </row>
    <row r="28">
      <c r="A28" s="2" t="inlineStr">
        <is>
          <t>is</t>
        </is>
      </c>
      <c r="B28" s="2" t="inlineStr">
        <is>
          <t>a</t>
        </is>
      </c>
      <c r="C28" s="7" t="n">
        <v>2</v>
      </c>
      <c r="D28" s="2">
        <f>SUMPRODUCT((Unigrams!A2:A21=A28)*(Unigrams!B2:B21))</f>
        <v/>
      </c>
      <c r="E28" s="8">
        <f>C28/D28</f>
        <v/>
      </c>
      <c r="F28" s="8">
        <f>(C28+1)/(D28+Unigrams!E1)</f>
        <v/>
      </c>
    </row>
    <row r="29">
      <c r="A29" s="2" t="inlineStr">
        <is>
          <t>is</t>
        </is>
      </c>
      <c r="B29" s="2" t="inlineStr">
        <is>
          <t>useful</t>
        </is>
      </c>
      <c r="C29" s="7" t="n">
        <v>2</v>
      </c>
      <c r="D29" s="2">
        <f>SUMPRODUCT((Unigrams!A2:A21=A29)*(Unigrams!B2:B21))</f>
        <v/>
      </c>
      <c r="E29" s="8">
        <f>C29/D29</f>
        <v/>
      </c>
      <c r="F29" s="8">
        <f>(C29+1)/(D29+Unigrams!E1)</f>
        <v/>
      </c>
    </row>
    <row r="30">
      <c r="A30" s="2" t="inlineStr">
        <is>
          <t>learning</t>
        </is>
      </c>
      <c r="B30" s="2" t="inlineStr">
        <is>
          <t>machine</t>
        </is>
      </c>
      <c r="C30" s="7" t="n">
        <v>2</v>
      </c>
      <c r="D30" s="2">
        <f>SUMPRODUCT((Unigrams!A2:A21=A30)*(Unigrams!B2:B21))</f>
        <v/>
      </c>
      <c r="E30" s="8">
        <f>C30/D30</f>
        <v/>
      </c>
      <c r="F30" s="8">
        <f>(C30+1)/(D30+Unigrams!E1)</f>
        <v/>
      </c>
    </row>
    <row r="31">
      <c r="A31" s="2" t="inlineStr">
        <is>
          <t>students</t>
        </is>
      </c>
      <c r="B31" s="2" t="inlineStr">
        <is>
          <t>find</t>
        </is>
      </c>
      <c r="C31" s="7" t="n">
        <v>2</v>
      </c>
      <c r="D31" s="2">
        <f>SUMPRODUCT((Unigrams!A2:A21=A31)*(Unigrams!B2:B21))</f>
        <v/>
      </c>
      <c r="E31" s="8">
        <f>C31/D31</f>
        <v/>
      </c>
      <c r="F31" s="8">
        <f>(C31+1)/(D31+Unigrams!E1)</f>
        <v/>
      </c>
    </row>
    <row r="32">
      <c r="A32" s="2" t="inlineStr">
        <is>
          <t>students</t>
        </is>
      </c>
      <c r="B32" s="2" t="inlineStr">
        <is>
          <t>learn</t>
        </is>
      </c>
      <c r="C32" s="7" t="n">
        <v>2</v>
      </c>
      <c r="D32" s="2">
        <f>SUMPRODUCT((Unigrams!A2:A21=A32)*(Unigrams!B2:B21))</f>
        <v/>
      </c>
      <c r="E32" s="8">
        <f>C32/D32</f>
        <v/>
      </c>
      <c r="F32" s="8">
        <f>(C32+1)/(D32+Unigrams!E1)</f>
        <v/>
      </c>
    </row>
    <row r="33">
      <c r="A33" s="2" t="inlineStr">
        <is>
          <t>students</t>
        </is>
      </c>
      <c r="B33" s="2" t="inlineStr">
        <is>
          <t>study</t>
        </is>
      </c>
      <c r="C33" s="7" t="n">
        <v>2</v>
      </c>
      <c r="D33" s="2">
        <f>SUMPRODUCT((Unigrams!A2:A21=A33)*(Unigrams!B2:B21))</f>
        <v/>
      </c>
      <c r="E33" s="8">
        <f>C33/D33</f>
        <v/>
      </c>
      <c r="F33" s="8">
        <f>(C33+1)/(D33+Unigrams!E1)</f>
        <v/>
      </c>
    </row>
    <row r="34">
      <c r="A34" s="2" t="inlineStr">
        <is>
          <t>students</t>
        </is>
      </c>
      <c r="B34" s="2" t="inlineStr">
        <is>
          <t>孺</t>
        </is>
      </c>
      <c r="C34" s="7" t="n">
        <v>2</v>
      </c>
      <c r="D34" s="2">
        <f>SUMPRODUCT((Unigrams!A2:A21=A34)*(Unigrams!B2:B21))</f>
        <v/>
      </c>
      <c r="E34" s="8">
        <f>C34/D34</f>
        <v/>
      </c>
      <c r="F34" s="8">
        <f>(C34+1)/(D34+Unigrams!E1)</f>
        <v/>
      </c>
    </row>
    <row r="35">
      <c r="A35" s="2" t="inlineStr">
        <is>
          <t>study</t>
        </is>
      </c>
      <c r="B35" s="2" t="inlineStr">
        <is>
          <t>machine</t>
        </is>
      </c>
      <c r="C35" s="7" t="n">
        <v>2</v>
      </c>
      <c r="D35" s="2">
        <f>SUMPRODUCT((Unigrams!A2:A21=A35)*(Unigrams!B2:B21))</f>
        <v/>
      </c>
      <c r="E35" s="8">
        <f>C35/D35</f>
        <v/>
      </c>
      <c r="F35" s="8">
        <f>(C35+1)/(D35+Unigrams!E1)</f>
        <v/>
      </c>
    </row>
    <row r="36">
      <c r="A36" s="2" t="inlineStr">
        <is>
          <t>study</t>
        </is>
      </c>
      <c r="B36" s="2" t="inlineStr">
        <is>
          <t>natural</t>
        </is>
      </c>
      <c r="C36" s="7" t="n">
        <v>2</v>
      </c>
      <c r="D36" s="2">
        <f>SUMPRODUCT((Unigrams!A2:A21=A36)*(Unigrams!B2:B21))</f>
        <v/>
      </c>
      <c r="E36" s="8">
        <f>C36/D36</f>
        <v/>
      </c>
      <c r="F36" s="8">
        <f>(C36+1)/(D36+Unigrams!E1)</f>
        <v/>
      </c>
    </row>
    <row r="37">
      <c r="A37" s="2" t="inlineStr">
        <is>
          <t>useful</t>
        </is>
      </c>
      <c r="B37" s="2" t="inlineStr">
        <is>
          <t>field</t>
        </is>
      </c>
      <c r="C37" s="7" t="n">
        <v>2</v>
      </c>
      <c r="D37" s="2">
        <f>SUMPRODUCT((Unigrams!A2:A21=A37)*(Unigrams!B2:B21))</f>
        <v/>
      </c>
      <c r="E37" s="8">
        <f>C37/D37</f>
        <v/>
      </c>
      <c r="F37" s="8">
        <f>(C37+1)/(D37+Unigrams!E1)</f>
        <v/>
      </c>
    </row>
    <row r="38">
      <c r="A38" s="2" t="inlineStr">
        <is>
          <t>learn</t>
        </is>
      </c>
      <c r="B38" s="2" t="inlineStr">
        <is>
          <t>machine</t>
        </is>
      </c>
      <c r="C38" s="7" t="n">
        <v>1</v>
      </c>
      <c r="D38" s="2">
        <f>SUMPRODUCT((Unigrams!A2:A21=A38)*(Unigrams!B2:B21))</f>
        <v/>
      </c>
      <c r="E38" s="8">
        <f>C38/D38</f>
        <v/>
      </c>
      <c r="F38" s="8">
        <f>(C38+1)/(D38+Unigrams!E1)</f>
        <v/>
      </c>
    </row>
    <row r="39">
      <c r="A39" s="2" t="inlineStr">
        <is>
          <t>learn</t>
        </is>
      </c>
      <c r="B39" s="2" t="inlineStr">
        <is>
          <t>natural</t>
        </is>
      </c>
      <c r="C39" s="7" t="n">
        <v>1</v>
      </c>
      <c r="D39" s="2">
        <f>SUMPRODUCT((Unigrams!A2:A21=A39)*(Unigrams!B2:B21))</f>
        <v/>
      </c>
      <c r="E39" s="8">
        <f>C39/D39</f>
        <v/>
      </c>
      <c r="F39" s="8">
        <f>(C39+1)/(D39+Unigrams!E1)</f>
        <v/>
      </c>
    </row>
    <row r="40">
      <c r="A40" s="2" t="inlineStr">
        <is>
          <t>learning</t>
        </is>
      </c>
      <c r="B40" s="2" t="inlineStr">
        <is>
          <t>helps</t>
        </is>
      </c>
      <c r="C40" s="7" t="n">
        <v>1</v>
      </c>
      <c r="D40" s="2">
        <f>SUMPRODUCT((Unigrams!A2:A21=A40)*(Unigrams!B2:B21))</f>
        <v/>
      </c>
      <c r="E40" s="8">
        <f>C40/D40</f>
        <v/>
      </c>
      <c r="F40" s="8">
        <f>(C40+1)/(D40+Unigrams!E1)</f>
        <v/>
      </c>
    </row>
    <row r="41">
      <c r="A41" s="2" t="inlineStr">
        <is>
          <t>learning</t>
        </is>
      </c>
      <c r="B41" s="2" t="inlineStr">
        <is>
          <t>interesting</t>
        </is>
      </c>
      <c r="C41" s="7" t="n">
        <v>1</v>
      </c>
      <c r="D41" s="2">
        <f>SUMPRODUCT((Unigrams!A2:A21=A41)*(Unigrams!B2:B21))</f>
        <v/>
      </c>
      <c r="E41" s="8">
        <f>C41/D41</f>
        <v/>
      </c>
      <c r="F41" s="8">
        <f>(C41+1)/(D41+Unigrams!E1)</f>
        <v/>
      </c>
    </row>
    <row r="42">
      <c r="A42" s="2" t="inlineStr">
        <is>
          <t>learning</t>
        </is>
      </c>
      <c r="B42" s="2" t="inlineStr">
        <is>
          <t>useful</t>
        </is>
      </c>
      <c r="C42" s="7" t="n">
        <v>1</v>
      </c>
      <c r="D42" s="2">
        <f>SUMPRODUCT((Unigrams!A2:A21=A42)*(Unigrams!B2:B21))</f>
        <v/>
      </c>
      <c r="E42" s="8">
        <f>C42/D42</f>
        <v/>
      </c>
      <c r="F42" s="8">
        <f>(C42+1)/(D42+Unigrams!E1)</f>
        <v/>
      </c>
    </row>
    <row r="43">
      <c r="A43" s="2" t="inlineStr">
        <is>
          <t>love</t>
        </is>
      </c>
      <c r="B43" s="2" t="inlineStr">
        <is>
          <t>learning</t>
        </is>
      </c>
      <c r="C43" s="7" t="n">
        <v>1</v>
      </c>
      <c r="D43" s="2">
        <f>SUMPRODUCT((Unigrams!A2:A21=A43)*(Unigrams!B2:B21))</f>
        <v/>
      </c>
      <c r="E43" s="8">
        <f>C43/D43</f>
        <v/>
      </c>
      <c r="F43" s="8">
        <f>(C43+1)/(D43+Unigrams!E1)</f>
        <v/>
      </c>
    </row>
    <row r="44">
      <c r="A44" s="2" t="inlineStr">
        <is>
          <t>love</t>
        </is>
      </c>
      <c r="B44" s="2" t="inlineStr">
        <is>
          <t>machine</t>
        </is>
      </c>
      <c r="C44" s="7" t="n">
        <v>1</v>
      </c>
      <c r="D44" s="2">
        <f>SUMPRODUCT((Unigrams!A2:A21=A44)*(Unigrams!B2:B21))</f>
        <v/>
      </c>
      <c r="E44" s="8">
        <f>C44/D44</f>
        <v/>
      </c>
      <c r="F44" s="8">
        <f>(C44+1)/(D44+Unigrams!E1)</f>
        <v/>
      </c>
    </row>
    <row r="45">
      <c r="A45" s="2" t="inlineStr">
        <is>
          <t>love</t>
        </is>
      </c>
      <c r="B45" s="2" t="inlineStr">
        <is>
          <t>natural</t>
        </is>
      </c>
      <c r="C45" s="7" t="n">
        <v>1</v>
      </c>
      <c r="D45" s="2">
        <f>SUMPRODUCT((Unigrams!A2:A21=A45)*(Unigrams!B2:B21))</f>
        <v/>
      </c>
      <c r="E45" s="8">
        <f>C45/D45</f>
        <v/>
      </c>
      <c r="F45" s="8">
        <f>(C45+1)/(D45+Unigrams!E1)</f>
        <v/>
      </c>
    </row>
    <row r="46">
      <c r="A46" s="2" t="inlineStr">
        <is>
          <t>processing</t>
        </is>
      </c>
      <c r="B46" s="2" t="inlineStr">
        <is>
          <t>helps</t>
        </is>
      </c>
      <c r="C46" s="7" t="n">
        <v>1</v>
      </c>
      <c r="D46" s="2">
        <f>SUMPRODUCT((Unigrams!A2:A21=A46)*(Unigrams!B2:B21))</f>
        <v/>
      </c>
      <c r="E46" s="8">
        <f>C46/D46</f>
        <v/>
      </c>
      <c r="F46" s="8">
        <f>(C46+1)/(D46+Unigrams!E1)</f>
        <v/>
      </c>
    </row>
    <row r="47">
      <c r="A47" s="2" t="inlineStr">
        <is>
          <t>processing</t>
        </is>
      </c>
      <c r="B47" s="2" t="inlineStr">
        <is>
          <t>interesting</t>
        </is>
      </c>
      <c r="C47" s="7" t="n">
        <v>1</v>
      </c>
      <c r="D47" s="2">
        <f>SUMPRODUCT((Unigrams!A2:A21=A47)*(Unigrams!B2:B21))</f>
        <v/>
      </c>
      <c r="E47" s="8">
        <f>C47/D47</f>
        <v/>
      </c>
      <c r="F47" s="8">
        <f>(C47+1)/(D47+Unigrams!E1)</f>
        <v/>
      </c>
    </row>
    <row r="48">
      <c r="A48" s="2" t="inlineStr">
        <is>
          <t>processing</t>
        </is>
      </c>
      <c r="B48" s="2" t="inlineStr">
        <is>
          <t>useful</t>
        </is>
      </c>
      <c r="C48" s="7" t="n">
        <v>1</v>
      </c>
      <c r="D48" s="2">
        <f>SUMPRODUCT((Unigrams!A2:A21=A48)*(Unigrams!B2:B21))</f>
        <v/>
      </c>
      <c r="E48" s="8">
        <f>C48/D48</f>
        <v/>
      </c>
      <c r="F48" s="8">
        <f>(C48+1)/(D48+Unigrams!E1)</f>
        <v/>
      </c>
    </row>
    <row r="49">
      <c r="A49" s="2" t="inlineStr">
        <is>
          <t>students</t>
        </is>
      </c>
      <c r="B49" s="2" t="inlineStr">
        <is>
          <t>love</t>
        </is>
      </c>
      <c r="C49" s="7" t="n">
        <v>1</v>
      </c>
      <c r="D49" s="2">
        <f>SUMPRODUCT((Unigrams!A2:A21=A49)*(Unigrams!B2:B21))</f>
        <v/>
      </c>
      <c r="E49" s="8">
        <f>C49/D49</f>
        <v/>
      </c>
      <c r="F49" s="8">
        <f>(C49+1)/(D49+Unigrams!E1)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1" customWidth="1" min="4" max="4"/>
    <col width="9" customWidth="1" min="5" max="5"/>
    <col width="11" customWidth="1" min="6" max="6"/>
    <col width="11" customWidth="1" min="7" max="7"/>
  </cols>
  <sheetData>
    <row r="1">
      <c r="A1" s="1" t="inlineStr">
        <is>
          <t>Sentence #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C(w1,w2)</t>
        </is>
      </c>
      <c r="E1" s="1" t="inlineStr">
        <is>
          <t>C(w1)</t>
        </is>
      </c>
      <c r="F1" s="1" t="inlineStr">
        <is>
          <t>MLE</t>
        </is>
      </c>
      <c r="G1" s="1" t="inlineStr">
        <is>
          <t>Laplace</t>
        </is>
      </c>
    </row>
    <row r="2">
      <c r="A2" s="2" t="n">
        <v>1</v>
      </c>
      <c r="B2" s="2" t="inlineStr"/>
      <c r="C2" s="2" t="inlineStr">
        <is>
          <t>i</t>
        </is>
      </c>
      <c r="D2" s="2">
        <f>SUMPRODUCT((Bigrams!A2:A49=B2)*(Bigrams!B2:B49=C2)*(Bigrams!C2:C49))</f>
        <v/>
      </c>
      <c r="E2" s="2">
        <f>SUMPRODUCT((Unigrams!A2:A21=B2)*(Unigrams!B2:B21))</f>
        <v/>
      </c>
      <c r="F2" s="8">
        <f>D2/E2</f>
        <v/>
      </c>
      <c r="G2" s="8">
        <f>(D2+1)/(E2+Unigrams!E1)</f>
        <v/>
      </c>
    </row>
    <row r="3">
      <c r="A3" s="2" t="n">
        <v>1</v>
      </c>
      <c r="B3" s="2" t="inlineStr">
        <is>
          <t>i</t>
        </is>
      </c>
      <c r="C3" s="2" t="inlineStr">
        <is>
          <t>love</t>
        </is>
      </c>
      <c r="D3" s="2">
        <f>SUMPRODUCT((Bigrams!A2:A49=B3)*(Bigrams!B2:B49=C3)*(Bigrams!C2:C49))</f>
        <v/>
      </c>
      <c r="E3" s="2">
        <f>SUMPRODUCT((Unigrams!A2:A21=B3)*(Unigrams!B2:B21))</f>
        <v/>
      </c>
      <c r="F3" s="8">
        <f>D3/E3</f>
        <v/>
      </c>
      <c r="G3" s="8">
        <f>(D3+1)/(E3+Unigrams!E1)</f>
        <v/>
      </c>
    </row>
    <row r="4">
      <c r="A4" s="2" t="n">
        <v>1</v>
      </c>
      <c r="B4" s="2" t="inlineStr">
        <is>
          <t>love</t>
        </is>
      </c>
      <c r="C4" s="2" t="inlineStr">
        <is>
          <t>natural</t>
        </is>
      </c>
      <c r="D4" s="2">
        <f>SUMPRODUCT((Bigrams!A2:A49=B4)*(Bigrams!B2:B49=C4)*(Bigrams!C2:C49))</f>
        <v/>
      </c>
      <c r="E4" s="2">
        <f>SUMPRODUCT((Unigrams!A2:A21=B4)*(Unigrams!B2:B21))</f>
        <v/>
      </c>
      <c r="F4" s="8">
        <f>D4/E4</f>
        <v/>
      </c>
      <c r="G4" s="8">
        <f>(D4+1)/(E4+Unigrams!E1)</f>
        <v/>
      </c>
    </row>
    <row r="5">
      <c r="A5" s="2" t="n">
        <v>1</v>
      </c>
      <c r="B5" s="2" t="inlineStr">
        <is>
          <t>natural</t>
        </is>
      </c>
      <c r="C5" s="2" t="inlineStr">
        <is>
          <t>language</t>
        </is>
      </c>
      <c r="D5" s="2">
        <f>SUMPRODUCT((Bigrams!A2:A49=B5)*(Bigrams!B2:B49=C5)*(Bigrams!C2:C49))</f>
        <v/>
      </c>
      <c r="E5" s="2">
        <f>SUMPRODUCT((Unigrams!A2:A21=B5)*(Unigrams!B2:B21))</f>
        <v/>
      </c>
      <c r="F5" s="8">
        <f>D5/E5</f>
        <v/>
      </c>
      <c r="G5" s="8">
        <f>(D5+1)/(E5+Unigrams!E1)</f>
        <v/>
      </c>
    </row>
    <row r="6">
      <c r="A6" s="2" t="n">
        <v>1</v>
      </c>
      <c r="B6" s="2" t="inlineStr">
        <is>
          <t>language</t>
        </is>
      </c>
      <c r="C6" s="2" t="inlineStr">
        <is>
          <t>processing</t>
        </is>
      </c>
      <c r="D6" s="2">
        <f>SUMPRODUCT((Bigrams!A2:A49=B6)*(Bigrams!B2:B49=C6)*(Bigrams!C2:C49))</f>
        <v/>
      </c>
      <c r="E6" s="2">
        <f>SUMPRODUCT((Unigrams!A2:A21=B6)*(Unigrams!B2:B21))</f>
        <v/>
      </c>
      <c r="F6" s="8">
        <f>D6/E6</f>
        <v/>
      </c>
      <c r="G6" s="8">
        <f>(D6+1)/(E6+Unigrams!E1)</f>
        <v/>
      </c>
    </row>
    <row r="7">
      <c r="A7" s="2" t="n">
        <v>1</v>
      </c>
      <c r="B7" s="2" t="inlineStr">
        <is>
          <t>processing</t>
        </is>
      </c>
      <c r="C7" s="2" t="inlineStr">
        <is>
          <t>孺</t>
        </is>
      </c>
      <c r="D7" s="2">
        <f>SUMPRODUCT((Bigrams!A2:A49=B7)*(Bigrams!B2:B49=C7)*(Bigrams!C2:C49))</f>
        <v/>
      </c>
      <c r="E7" s="2">
        <f>SUMPRODUCT((Unigrams!A2:A21=B7)*(Unigrams!B2:B21))</f>
        <v/>
      </c>
      <c r="F7" s="8">
        <f>D7/E7</f>
        <v/>
      </c>
      <c r="G7" s="8">
        <f>(D7+1)/(E7+Unigrams!E1)</f>
        <v/>
      </c>
    </row>
    <row r="8">
      <c r="A8" s="2" t="n">
        <v>2</v>
      </c>
      <c r="B8" s="2" t="inlineStr"/>
      <c r="C8" s="2" t="inlineStr">
        <is>
          <t>students</t>
        </is>
      </c>
      <c r="D8" s="2">
        <f>SUMPRODUCT((Bigrams!A2:A49=B8)*(Bigrams!B2:B49=C8)*(Bigrams!C2:C49))</f>
        <v/>
      </c>
      <c r="E8" s="2">
        <f>SUMPRODUCT((Unigrams!A2:A21=B8)*(Unigrams!B2:B21))</f>
        <v/>
      </c>
      <c r="F8" s="8">
        <f>D8/E8</f>
        <v/>
      </c>
      <c r="G8" s="8">
        <f>(D8+1)/(E8+Unigrams!E1)</f>
        <v/>
      </c>
    </row>
    <row r="9">
      <c r="A9" s="2" t="n">
        <v>2</v>
      </c>
      <c r="B9" s="2" t="inlineStr">
        <is>
          <t>students</t>
        </is>
      </c>
      <c r="C9" s="2" t="inlineStr">
        <is>
          <t>learn</t>
        </is>
      </c>
      <c r="D9" s="2">
        <f>SUMPRODUCT((Bigrams!A2:A49=B9)*(Bigrams!B2:B49=C9)*(Bigrams!C2:C49))</f>
        <v/>
      </c>
      <c r="E9" s="2">
        <f>SUMPRODUCT((Unigrams!A2:A21=B9)*(Unigrams!B2:B21))</f>
        <v/>
      </c>
      <c r="F9" s="8">
        <f>D9/E9</f>
        <v/>
      </c>
      <c r="G9" s="8">
        <f>(D9+1)/(E9+Unigrams!E1)</f>
        <v/>
      </c>
    </row>
    <row r="10">
      <c r="A10" s="2" t="n">
        <v>2</v>
      </c>
      <c r="B10" s="2" t="inlineStr">
        <is>
          <t>learn</t>
        </is>
      </c>
      <c r="C10" s="2" t="inlineStr">
        <is>
          <t>machine</t>
        </is>
      </c>
      <c r="D10" s="2">
        <f>SUMPRODUCT((Bigrams!A2:A49=B10)*(Bigrams!B2:B49=C10)*(Bigrams!C2:C49))</f>
        <v/>
      </c>
      <c r="E10" s="2">
        <f>SUMPRODUCT((Unigrams!A2:A21=B10)*(Unigrams!B2:B21))</f>
        <v/>
      </c>
      <c r="F10" s="8">
        <f>D10/E10</f>
        <v/>
      </c>
      <c r="G10" s="8">
        <f>(D10+1)/(E10+Unigrams!E1)</f>
        <v/>
      </c>
    </row>
    <row r="11">
      <c r="A11" s="2" t="n">
        <v>2</v>
      </c>
      <c r="B11" s="2" t="inlineStr">
        <is>
          <t>machine</t>
        </is>
      </c>
      <c r="C11" s="2" t="inlineStr">
        <is>
          <t>learning</t>
        </is>
      </c>
      <c r="D11" s="2">
        <f>SUMPRODUCT((Bigrams!A2:A49=B11)*(Bigrams!B2:B49=C11)*(Bigrams!C2:C49))</f>
        <v/>
      </c>
      <c r="E11" s="2">
        <f>SUMPRODUCT((Unigrams!A2:A21=B11)*(Unigrams!B2:B21))</f>
        <v/>
      </c>
      <c r="F11" s="8">
        <f>D11/E11</f>
        <v/>
      </c>
      <c r="G11" s="8">
        <f>(D11+1)/(E11+Unigrams!E1)</f>
        <v/>
      </c>
    </row>
    <row r="12">
      <c r="A12" s="2" t="n">
        <v>2</v>
      </c>
      <c r="B12" s="2" t="inlineStr">
        <is>
          <t>learning</t>
        </is>
      </c>
      <c r="C12" s="2" t="inlineStr">
        <is>
          <t>孺</t>
        </is>
      </c>
      <c r="D12" s="2">
        <f>SUMPRODUCT((Bigrams!A2:A49=B12)*(Bigrams!B2:B49=C12)*(Bigrams!C2:C49))</f>
        <v/>
      </c>
      <c r="E12" s="2">
        <f>SUMPRODUCT((Unigrams!A2:A21=B12)*(Unigrams!B2:B21))</f>
        <v/>
      </c>
      <c r="F12" s="8">
        <f>D12/E12</f>
        <v/>
      </c>
      <c r="G12" s="8">
        <f>(D12+1)/(E12+Unigrams!E1)</f>
        <v/>
      </c>
    </row>
    <row r="13">
      <c r="A13" s="2" t="n">
        <v>3</v>
      </c>
      <c r="B13" s="2" t="inlineStr"/>
      <c r="C13" s="2" t="inlineStr">
        <is>
          <t>natural</t>
        </is>
      </c>
      <c r="D13" s="2">
        <f>SUMPRODUCT((Bigrams!A2:A49=B13)*(Bigrams!B2:B49=C13)*(Bigrams!C2:C49))</f>
        <v/>
      </c>
      <c r="E13" s="2">
        <f>SUMPRODUCT((Unigrams!A2:A21=B13)*(Unigrams!B2:B21))</f>
        <v/>
      </c>
      <c r="F13" s="8">
        <f>D13/E13</f>
        <v/>
      </c>
      <c r="G13" s="8">
        <f>(D13+1)/(E13+Unigrams!E1)</f>
        <v/>
      </c>
    </row>
    <row r="14">
      <c r="A14" s="2" t="n">
        <v>3</v>
      </c>
      <c r="B14" s="2" t="inlineStr">
        <is>
          <t>natural</t>
        </is>
      </c>
      <c r="C14" s="2" t="inlineStr">
        <is>
          <t>language</t>
        </is>
      </c>
      <c r="D14" s="2">
        <f>SUMPRODUCT((Bigrams!A2:A49=B14)*(Bigrams!B2:B49=C14)*(Bigrams!C2:C49))</f>
        <v/>
      </c>
      <c r="E14" s="2">
        <f>SUMPRODUCT((Unigrams!A2:A21=B14)*(Unigrams!B2:B21))</f>
        <v/>
      </c>
      <c r="F14" s="8">
        <f>D14/E14</f>
        <v/>
      </c>
      <c r="G14" s="8">
        <f>(D14+1)/(E14+Unigrams!E1)</f>
        <v/>
      </c>
    </row>
    <row r="15">
      <c r="A15" s="2" t="n">
        <v>3</v>
      </c>
      <c r="B15" s="2" t="inlineStr">
        <is>
          <t>language</t>
        </is>
      </c>
      <c r="C15" s="2" t="inlineStr">
        <is>
          <t>processing</t>
        </is>
      </c>
      <c r="D15" s="2">
        <f>SUMPRODUCT((Bigrams!A2:A49=B15)*(Bigrams!B2:B49=C15)*(Bigrams!C2:C49))</f>
        <v/>
      </c>
      <c r="E15" s="2">
        <f>SUMPRODUCT((Unigrams!A2:A21=B15)*(Unigrams!B2:B21))</f>
        <v/>
      </c>
      <c r="F15" s="8">
        <f>D15/E15</f>
        <v/>
      </c>
      <c r="G15" s="8">
        <f>(D15+1)/(E15+Unigrams!E1)</f>
        <v/>
      </c>
    </row>
    <row r="16">
      <c r="A16" s="2" t="n">
        <v>3</v>
      </c>
      <c r="B16" s="2" t="inlineStr">
        <is>
          <t>processing</t>
        </is>
      </c>
      <c r="C16" s="2" t="inlineStr">
        <is>
          <t>helps</t>
        </is>
      </c>
      <c r="D16" s="2">
        <f>SUMPRODUCT((Bigrams!A2:A49=B16)*(Bigrams!B2:B49=C16)*(Bigrams!C2:C49))</f>
        <v/>
      </c>
      <c r="E16" s="2">
        <f>SUMPRODUCT((Unigrams!A2:A21=B16)*(Unigrams!B2:B21))</f>
        <v/>
      </c>
      <c r="F16" s="8">
        <f>D16/E16</f>
        <v/>
      </c>
      <c r="G16" s="8">
        <f>(D16+1)/(E16+Unigrams!E1)</f>
        <v/>
      </c>
    </row>
    <row r="17">
      <c r="A17" s="2" t="n">
        <v>3</v>
      </c>
      <c r="B17" s="2" t="inlineStr">
        <is>
          <t>helps</t>
        </is>
      </c>
      <c r="C17" s="2" t="inlineStr">
        <is>
          <t>students</t>
        </is>
      </c>
      <c r="D17" s="2">
        <f>SUMPRODUCT((Bigrams!A2:A49=B17)*(Bigrams!B2:B49=C17)*(Bigrams!C2:C49))</f>
        <v/>
      </c>
      <c r="E17" s="2">
        <f>SUMPRODUCT((Unigrams!A2:A21=B17)*(Unigrams!B2:B21))</f>
        <v/>
      </c>
      <c r="F17" s="8">
        <f>D17/E17</f>
        <v/>
      </c>
      <c r="G17" s="8">
        <f>(D17+1)/(E17+Unigrams!E1)</f>
        <v/>
      </c>
    </row>
    <row r="18">
      <c r="A18" s="2" t="n">
        <v>3</v>
      </c>
      <c r="B18" s="2" t="inlineStr">
        <is>
          <t>students</t>
        </is>
      </c>
      <c r="C18" s="2" t="inlineStr">
        <is>
          <t>孺</t>
        </is>
      </c>
      <c r="D18" s="2">
        <f>SUMPRODUCT((Bigrams!A2:A49=B18)*(Bigrams!B2:B49=C18)*(Bigrams!C2:C49))</f>
        <v/>
      </c>
      <c r="E18" s="2">
        <f>SUMPRODUCT((Unigrams!A2:A21=B18)*(Unigrams!B2:B21))</f>
        <v/>
      </c>
      <c r="F18" s="8">
        <f>D18/E18</f>
        <v/>
      </c>
      <c r="G18" s="8">
        <f>(D18+1)/(E18+Unigrams!E1)</f>
        <v/>
      </c>
    </row>
    <row r="19">
      <c r="A19" s="2" t="n">
        <v>4</v>
      </c>
      <c r="B19" s="2" t="inlineStr"/>
      <c r="C19" s="2" t="inlineStr">
        <is>
          <t>i</t>
        </is>
      </c>
      <c r="D19" s="2">
        <f>SUMPRODUCT((Bigrams!A2:A49=B19)*(Bigrams!B2:B49=C19)*(Bigrams!C2:C49))</f>
        <v/>
      </c>
      <c r="E19" s="2">
        <f>SUMPRODUCT((Unigrams!A2:A21=B19)*(Unigrams!B2:B21))</f>
        <v/>
      </c>
      <c r="F19" s="8">
        <f>D19/E19</f>
        <v/>
      </c>
      <c r="G19" s="8">
        <f>(D19+1)/(E19+Unigrams!E1)</f>
        <v/>
      </c>
    </row>
    <row r="20">
      <c r="A20" s="2" t="n">
        <v>4</v>
      </c>
      <c r="B20" s="2" t="inlineStr">
        <is>
          <t>i</t>
        </is>
      </c>
      <c r="C20" s="2" t="inlineStr">
        <is>
          <t>enjoy</t>
        </is>
      </c>
      <c r="D20" s="2">
        <f>SUMPRODUCT((Bigrams!A2:A49=B20)*(Bigrams!B2:B49=C20)*(Bigrams!C2:C49))</f>
        <v/>
      </c>
      <c r="E20" s="2">
        <f>SUMPRODUCT((Unigrams!A2:A21=B20)*(Unigrams!B2:B21))</f>
        <v/>
      </c>
      <c r="F20" s="8">
        <f>D20/E20</f>
        <v/>
      </c>
      <c r="G20" s="8">
        <f>(D20+1)/(E20+Unigrams!E1)</f>
        <v/>
      </c>
    </row>
    <row r="21">
      <c r="A21" s="2" t="n">
        <v>4</v>
      </c>
      <c r="B21" s="2" t="inlineStr">
        <is>
          <t>enjoy</t>
        </is>
      </c>
      <c r="C21" s="2" t="inlineStr">
        <is>
          <t>learning</t>
        </is>
      </c>
      <c r="D21" s="2">
        <f>SUMPRODUCT((Bigrams!A2:A49=B21)*(Bigrams!B2:B49=C21)*(Bigrams!C2:C49))</f>
        <v/>
      </c>
      <c r="E21" s="2">
        <f>SUMPRODUCT((Unigrams!A2:A21=B21)*(Unigrams!B2:B21))</f>
        <v/>
      </c>
      <c r="F21" s="8">
        <f>D21/E21</f>
        <v/>
      </c>
      <c r="G21" s="8">
        <f>(D21+1)/(E21+Unigrams!E1)</f>
        <v/>
      </c>
    </row>
    <row r="22">
      <c r="A22" s="2" t="n">
        <v>4</v>
      </c>
      <c r="B22" s="2" t="inlineStr">
        <is>
          <t>learning</t>
        </is>
      </c>
      <c r="C22" s="2" t="inlineStr">
        <is>
          <t>machine</t>
        </is>
      </c>
      <c r="D22" s="2">
        <f>SUMPRODUCT((Bigrams!A2:A49=B22)*(Bigrams!B2:B49=C22)*(Bigrams!C2:C49))</f>
        <v/>
      </c>
      <c r="E22" s="2">
        <f>SUMPRODUCT((Unigrams!A2:A21=B22)*(Unigrams!B2:B21))</f>
        <v/>
      </c>
      <c r="F22" s="8">
        <f>D22/E22</f>
        <v/>
      </c>
      <c r="G22" s="8">
        <f>(D22+1)/(E22+Unigrams!E1)</f>
        <v/>
      </c>
    </row>
    <row r="23">
      <c r="A23" s="2" t="n">
        <v>4</v>
      </c>
      <c r="B23" s="2" t="inlineStr">
        <is>
          <t>machine</t>
        </is>
      </c>
      <c r="C23" s="2" t="inlineStr">
        <is>
          <t>learning</t>
        </is>
      </c>
      <c r="D23" s="2">
        <f>SUMPRODUCT((Bigrams!A2:A49=B23)*(Bigrams!B2:B49=C23)*(Bigrams!C2:C49))</f>
        <v/>
      </c>
      <c r="E23" s="2">
        <f>SUMPRODUCT((Unigrams!A2:A21=B23)*(Unigrams!B2:B21))</f>
        <v/>
      </c>
      <c r="F23" s="8">
        <f>D23/E23</f>
        <v/>
      </c>
      <c r="G23" s="8">
        <f>(D23+1)/(E23+Unigrams!E1)</f>
        <v/>
      </c>
    </row>
    <row r="24">
      <c r="A24" s="2" t="n">
        <v>4</v>
      </c>
      <c r="B24" s="2" t="inlineStr">
        <is>
          <t>learning</t>
        </is>
      </c>
      <c r="C24" s="2" t="inlineStr">
        <is>
          <t>孺</t>
        </is>
      </c>
      <c r="D24" s="2">
        <f>SUMPRODUCT((Bigrams!A2:A49=B24)*(Bigrams!B2:B49=C24)*(Bigrams!C2:C49))</f>
        <v/>
      </c>
      <c r="E24" s="2">
        <f>SUMPRODUCT((Unigrams!A2:A21=B24)*(Unigrams!B2:B21))</f>
        <v/>
      </c>
      <c r="F24" s="8">
        <f>D24/E24</f>
        <v/>
      </c>
      <c r="G24" s="8">
        <f>(D24+1)/(E24+Unigrams!E1)</f>
        <v/>
      </c>
    </row>
    <row r="25">
      <c r="A25" s="2" t="n">
        <v>5</v>
      </c>
      <c r="B25" s="2" t="inlineStr"/>
      <c r="C25" s="2" t="inlineStr">
        <is>
          <t>students</t>
        </is>
      </c>
      <c r="D25" s="2">
        <f>SUMPRODUCT((Bigrams!A2:A49=B25)*(Bigrams!B2:B49=C25)*(Bigrams!C2:C49))</f>
        <v/>
      </c>
      <c r="E25" s="2">
        <f>SUMPRODUCT((Unigrams!A2:A21=B25)*(Unigrams!B2:B21))</f>
        <v/>
      </c>
      <c r="F25" s="8">
        <f>D25/E25</f>
        <v/>
      </c>
      <c r="G25" s="8">
        <f>(D25+1)/(E25+Unigrams!E1)</f>
        <v/>
      </c>
    </row>
    <row r="26">
      <c r="A26" s="2" t="n">
        <v>5</v>
      </c>
      <c r="B26" s="2" t="inlineStr">
        <is>
          <t>students</t>
        </is>
      </c>
      <c r="C26" s="2" t="inlineStr">
        <is>
          <t>find</t>
        </is>
      </c>
      <c r="D26" s="2">
        <f>SUMPRODUCT((Bigrams!A2:A49=B26)*(Bigrams!B2:B49=C26)*(Bigrams!C2:C49))</f>
        <v/>
      </c>
      <c r="E26" s="2">
        <f>SUMPRODUCT((Unigrams!A2:A21=B26)*(Unigrams!B2:B21))</f>
        <v/>
      </c>
      <c r="F26" s="8">
        <f>D26/E26</f>
        <v/>
      </c>
      <c r="G26" s="8">
        <f>(D26+1)/(E26+Unigrams!E1)</f>
        <v/>
      </c>
    </row>
    <row r="27">
      <c r="A27" s="2" t="n">
        <v>5</v>
      </c>
      <c r="B27" s="2" t="inlineStr">
        <is>
          <t>find</t>
        </is>
      </c>
      <c r="C27" s="2" t="inlineStr">
        <is>
          <t>machine</t>
        </is>
      </c>
      <c r="D27" s="2">
        <f>SUMPRODUCT((Bigrams!A2:A49=B27)*(Bigrams!B2:B49=C27)*(Bigrams!C2:C49))</f>
        <v/>
      </c>
      <c r="E27" s="2">
        <f>SUMPRODUCT((Unigrams!A2:A21=B27)*(Unigrams!B2:B21))</f>
        <v/>
      </c>
      <c r="F27" s="8">
        <f>D27/E27</f>
        <v/>
      </c>
      <c r="G27" s="8">
        <f>(D27+1)/(E27+Unigrams!E1)</f>
        <v/>
      </c>
    </row>
    <row r="28">
      <c r="A28" s="2" t="n">
        <v>5</v>
      </c>
      <c r="B28" s="2" t="inlineStr">
        <is>
          <t>machine</t>
        </is>
      </c>
      <c r="C28" s="2" t="inlineStr">
        <is>
          <t>learning</t>
        </is>
      </c>
      <c r="D28" s="2">
        <f>SUMPRODUCT((Bigrams!A2:A49=B28)*(Bigrams!B2:B49=C28)*(Bigrams!C2:C49))</f>
        <v/>
      </c>
      <c r="E28" s="2">
        <f>SUMPRODUCT((Unigrams!A2:A21=B28)*(Unigrams!B2:B21))</f>
        <v/>
      </c>
      <c r="F28" s="8">
        <f>D28/E28</f>
        <v/>
      </c>
      <c r="G28" s="8">
        <f>(D28+1)/(E28+Unigrams!E1)</f>
        <v/>
      </c>
    </row>
    <row r="29">
      <c r="A29" s="2" t="n">
        <v>5</v>
      </c>
      <c r="B29" s="2" t="inlineStr">
        <is>
          <t>learning</t>
        </is>
      </c>
      <c r="C29" s="2" t="inlineStr">
        <is>
          <t>useful</t>
        </is>
      </c>
      <c r="D29" s="2">
        <f>SUMPRODUCT((Bigrams!A2:A49=B29)*(Bigrams!B2:B49=C29)*(Bigrams!C2:C49))</f>
        <v/>
      </c>
      <c r="E29" s="2">
        <f>SUMPRODUCT((Unigrams!A2:A21=B29)*(Unigrams!B2:B21))</f>
        <v/>
      </c>
      <c r="F29" s="8">
        <f>D29/E29</f>
        <v/>
      </c>
      <c r="G29" s="8">
        <f>(D29+1)/(E29+Unigrams!E1)</f>
        <v/>
      </c>
    </row>
    <row r="30">
      <c r="A30" s="2" t="n">
        <v>5</v>
      </c>
      <c r="B30" s="2" t="inlineStr">
        <is>
          <t>useful</t>
        </is>
      </c>
      <c r="C30" s="2" t="inlineStr">
        <is>
          <t>孺</t>
        </is>
      </c>
      <c r="D30" s="2">
        <f>SUMPRODUCT((Bigrams!A2:A49=B30)*(Bigrams!B2:B49=C30)*(Bigrams!C2:C49))</f>
        <v/>
      </c>
      <c r="E30" s="2">
        <f>SUMPRODUCT((Unigrams!A2:A21=B30)*(Unigrams!B2:B21))</f>
        <v/>
      </c>
      <c r="F30" s="8">
        <f>D30/E30</f>
        <v/>
      </c>
      <c r="G30" s="8">
        <f>(D30+1)/(E30+Unigrams!E1)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2026-10-07T10:57:07Z</dcterms:created>
  <dcterms:modified xmlns:dcterms="http://purl.org/dc/terms/" xmlns:xsi="http://www.w3.org/2001/XMLSchema-instance" xsi:type="dcterms:W3CDTF">2026-10-07T10:57:07Z</dcterms:modified>
</cp:coreProperties>
</file>